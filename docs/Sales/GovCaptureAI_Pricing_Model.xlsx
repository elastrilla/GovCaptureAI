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5782c7e18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b00bfd607e466a"/>
    <x:sheet xmlns:r="http://schemas.openxmlformats.org/officeDocument/2006/relationships" name="Assumptions" sheetId="2" r:id="Rdaef348dba1f401a"/>
    <x:sheet xmlns:r="http://schemas.openxmlformats.org/officeDocument/2006/relationships" name="Package_Model" sheetId="3" r:id="R015e591d6be44e8d"/>
    <x:sheet xmlns:r="http://schemas.openxmlformats.org/officeDocument/2006/relationships" name="Buyer_Offer" sheetId="4" r:id="R1510ed84b95848dd"/>
    <x:sheet xmlns:r="http://schemas.openxmlformats.org/officeDocument/2006/relationships" name="Checks" sheetId="5" r:id="R896750e3a2cc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"/>
    <x:numFmt numFmtId="201" formatCode="0.0%"/>
    <x:numFmt numFmtId="202" formatCode="#,##0"/>
  </x:numFmts>
  <x:fonts count="5">
    <x:font>
      <x:sz val="11"/>
      <x:name val="Carlito"/>
    </x:font>
    <x:font>
      <x:b/>
      <x:sz val="22"/>
      <x:color rgb="FF17201B"/>
      <x:name val="Carlito"/>
    </x:font>
    <x:font>
      <x:sz val="11"/>
      <x:color rgb="FF5F6B64"/>
      <x:name val="Carlito"/>
    </x:font>
    <x:font>
      <x:b/>
      <x:sz val="11"/>
      <x:color rgb="FFFFFFFF"/>
      <x:name val="Carlito"/>
    </x:font>
    <x:font>
      <x:b/>
      <x:sz val="11"/>
      <x:color rgb="FF17201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B23"/>
      </x:patternFill>
    </x:fill>
    <x:fill>
      <x:patternFill patternType="solid">
        <x:fgColor rgb="FFE8F3EC"/>
      </x:patternFill>
    </x:fill>
  </x:fills>
  <x:borders count="5">
    <x:border/>
    <x:border>
      <x:left style="thin">
        <x:color rgb="FF0F2B23"/>
      </x:left>
      <x:top style="thin">
        <x:color rgb="FF0F2B23"/>
      </x:top>
      <x:bottom style="thin">
        <x:color rgb="FF0F2B23"/>
      </x:bottom>
    </x:border>
    <x:border>
      <x:top style="thin">
        <x:color rgb="FF0F2B23"/>
      </x:top>
      <x:bottom style="thin">
        <x:color rgb="FF0F2B23"/>
      </x:bottom>
    </x:border>
    <x:border>
      <x:right style="thin">
        <x:color rgb="FF0F2B23"/>
      </x:right>
      <x:top style="thin">
        <x:color rgb="FF0F2B23"/>
      </x:top>
      <x:bottom style="thin">
        <x:color rgb="FF0F2B23"/>
      </x:bottom>
    </x:border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4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b9f1699e224ce2" /><Relationship Type="http://schemas.openxmlformats.org/officeDocument/2006/relationships/theme" Target="/xl/theme/theme1.xml" Id="R5374a55be6c442c7" /><Relationship Type="http://schemas.openxmlformats.org/officeDocument/2006/relationships/sharedStrings" Target="/xl/sharedStrings.xml" Id="R41ece1b197e14d4b" /><Relationship Type="http://schemas.openxmlformats.org/officeDocument/2006/relationships/worksheet" Target="/xl/worksheets/sheet1.xml" Id="R0bb00bfd607e466a" /><Relationship Type="http://schemas.openxmlformats.org/officeDocument/2006/relationships/worksheet" Target="/xl/worksheets/sheet2.xml" Id="Rdaef348dba1f401a" /><Relationship Type="http://schemas.openxmlformats.org/officeDocument/2006/relationships/worksheet" Target="/xl/worksheets/sheet3.xml" Id="R015e591d6be44e8d" /><Relationship Type="http://schemas.openxmlformats.org/officeDocument/2006/relationships/worksheet" Target="/xl/worksheets/sheet4.xml" Id="R1510ed84b95848dd" /><Relationship Type="http://schemas.openxmlformats.org/officeDocument/2006/relationships/worksheet" Target="/xl/worksheets/sheet5.xml" Id="R896750e3a2cc44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23.329999923706055" hidden="0" customWidth="1"/>
    <x:col min="3" max="3" width="27.780000686645508" hidden="0" customWidth="1"/>
    <x:col min="4" max="4" width="26.670000076293945" hidden="0" customWidth="1"/>
  </x:cols>
  <x:sheetData>
    <x:row r="1" ht="22.5" customHeight="1">
      <x:c r="A1" s="1" t="str">
        <x:v>GovCaptureAI Pricing Summary</x:v>
      </x:c>
    </x:row>
    <x:row r="2" ht="22.5" customHeight="1">
      <x:c r="A2" s="2" t="str">
        <x:v>Early packaging model for consulting-led pilots and buyer conversations.</x:v>
      </x:c>
    </x:row>
    <x:row r="4">
      <x:c r="A4" s="8" t="str">
        <x:v>Metric</x:v>
      </x:c>
      <x:c r="B4" s="8" t="str">
        <x:v>Discovery</x:v>
      </x:c>
      <x:c r="C4" s="8" t="str">
        <x:v>Pilot</x:v>
      </x:c>
      <x:c r="D4" s="8" t="str">
        <x:v>Implementation</x:v>
      </x:c>
    </x:row>
    <x:row r="5">
      <x:c r="A5" s="9" t="str">
        <x:v>Buyer price</x:v>
      </x:c>
      <x:c r="B5" s="10" t="n">
        <x:f>'Package_Model'!B5</x:f>
        <x:v>4500</x:v>
      </x:c>
      <x:c r="C5" s="10" t="n">
        <x:f>'Package_Model'!B6</x:f>
        <x:v>15000</x:v>
      </x:c>
      <x:c r="D5" s="10" t="n">
        <x:f>'Package_Model'!B7</x:f>
        <x:v>36000</x:v>
      </x:c>
    </x:row>
    <x:row r="6">
      <x:c r="A6" s="9" t="str">
        <x:v>Delivery hours</x:v>
      </x:c>
      <x:c r="B6" s="12" t="n">
        <x:f>'Package_Model'!C5</x:f>
        <x:v>18</x:v>
      </x:c>
      <x:c r="C6" s="12" t="n">
        <x:f>'Package_Model'!C6</x:f>
        <x:v>52</x:v>
      </x:c>
      <x:c r="D6" s="12" t="n">
        <x:f>'Package_Model'!C7</x:f>
        <x:v>120</x:v>
      </x:c>
    </x:row>
    <x:row r="7">
      <x:c r="A7" s="9" t="str">
        <x:v>Gross margin</x:v>
      </x:c>
      <x:c r="B7" s="10" t="n">
        <x:f>'Package_Model'!E5</x:f>
        <x:v>2250</x:v>
      </x:c>
      <x:c r="C7" s="10" t="n">
        <x:f>'Package_Model'!E6</x:f>
        <x:v>8500</x:v>
      </x:c>
      <x:c r="D7" s="10" t="n">
        <x:f>'Package_Model'!E7</x:f>
        <x:v>21000</x:v>
      </x:c>
    </x:row>
    <x:row r="8">
      <x:c r="A8" s="9" t="str">
        <x:v>Gross margin %</x:v>
      </x:c>
      <x:c r="B8" s="11" t="n">
        <x:f>'Package_Model'!F5</x:f>
        <x:v>0.5</x:v>
      </x:c>
      <x:c r="C8" s="11" t="n">
        <x:f>'Package_Model'!F6</x:f>
        <x:v>0.5666666666666667</x:v>
      </x:c>
      <x:c r="D8" s="11" t="n">
        <x:f>'Package_Model'!F7</x:f>
        <x:v>0.5833333333333334</x:v>
      </x:c>
    </x:row>
    <x:row r="9">
      <x:c r="A9" s="9" t="str">
        <x:v>Effective rate</x:v>
      </x:c>
      <x:c r="B9" s="10" t="n">
        <x:f>'Package_Model'!G5</x:f>
        <x:v>250</x:v>
      </x:c>
      <x:c r="C9" s="10" t="n">
        <x:f>'Package_Model'!G6</x:f>
        <x:v>288.46153846153845</x:v>
      </x:c>
      <x:c r="D9" s="10" t="n">
        <x:f>'Package_Model'!G7</x:f>
        <x:v>300</x:v>
      </x:c>
    </x:row>
    <x:row r="10">
      <x:c r="A10" s="9" t="str">
        <x:v>Opportunity count</x:v>
      </x:c>
      <x:c r="B10" s="12" t="n">
        <x:f>'Package_Model'!H5</x:f>
        <x:v>10</x:v>
      </x:c>
      <x:c r="C10" s="12" t="n">
        <x:f>'Package_Model'!H6</x:f>
        <x:v>25</x:v>
      </x:c>
      <x:c r="D10" s="12" t="n">
        <x:f>'Package_Model'!H7</x:f>
        <x:v>100</x:v>
      </x:c>
    </x:row>
    <x:row r="11">
      <x:c r="A11" s="9" t="str">
        <x:v>Primary buyer outcome</x:v>
      </x:c>
      <x:c r="B11" s="13" t="str">
        <x:v>Pilot plan</x:v>
      </x:c>
      <x:c r="C11" s="13" t="str">
        <x:v>Proof on real opportunities</x:v>
      </x:c>
      <x:c r="D11" s="13" t="str">
        <x:v>Small-team rollout</x:v>
      </x:c>
    </x:row>
    <x:row r="14">
      <x:c r="A14" s="19" t="str">
        <x:v>Recommended pricing posture</x:v>
      </x:c>
      <x:c r="B14" s="19"/>
      <x:c r="C14" s="19"/>
      <x:c r="D14" s="19"/>
    </x:row>
    <x:row r="15" ht="40.5" customHeight="1">
      <x:c r="A15" s="20" t="str">
        <x:v>Lead with the Focused Pilot.</x:v>
      </x:c>
      <x:c r="B15" s="13" t="str">
        <x:v>It maps directly to the product proof: qualify real opportunities and generate a reviewable draft.</x:v>
      </x:c>
      <x:c r="C15" s="13"/>
      <x:c r="D15" s="13"/>
    </x:row>
    <x:row r="16" ht="40.5" customHeight="1">
      <x:c r="A16" s="20" t="str">
        <x:v>Use Discovery Sprint when trust is not established yet.</x:v>
      </x:c>
      <x:c r="B16" s="13" t="str">
        <x:v>It lowers buyer risk and creates a paid path to the pilot.</x:v>
      </x:c>
      <x:c r="C16" s="13"/>
      <x:c r="D16" s="13"/>
    </x:row>
    <x:row r="17" ht="40.5" customHeight="1">
      <x:c r="A17" s="20" t="str">
        <x:v>Reserve Implementation Setup for buyers with validated demand.</x:v>
      </x:c>
      <x:c r="B17" s="13" t="str">
        <x:v>It should follow a successful pilot, not replace it.</x:v>
      </x:c>
      <x:c r="C17" s="13"/>
      <x:c r="D17" s="13"/>
    </x:row>
  </x:sheetData>
  <x:mergeCells>
    <x:mergeCell ref="A14:D14"/>
    <x:mergeCell ref="B15:D15"/>
    <x:mergeCell ref="B16:D16"/>
    <x:mergeCell ref="B17:D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2.220000267028809" hidden="0" customWidth="1"/>
    <x:col min="3" max="3" width="12.220000267028809" hidden="0" customWidth="1"/>
    <x:col min="4" max="4" width="46.66999816894531" hidden="0" customWidth="1"/>
  </x:cols>
  <x:sheetData>
    <x:row r="1" ht="22.5" customHeight="1">
      <x:c r="A1" s="1" t="str">
        <x:v>GovCaptureAI Pricing Assumptions</x:v>
      </x:c>
    </x:row>
    <x:row r="2" ht="22.5" customHeight="1">
      <x:c r="A2" s="2" t="str">
        <x:v>Editable assumptions for early consulting and pilot packaging.</x:v>
      </x:c>
    </x:row>
    <x:row r="4">
      <x:c r="A4" s="8" t="str">
        <x:v>Assumption</x:v>
      </x:c>
      <x:c r="B4" s="8" t="str">
        <x:v>Value</x:v>
      </x:c>
      <x:c r="C4" s="8" t="str">
        <x:v>Units</x:v>
      </x:c>
      <x:c r="D4" s="8" t="str">
        <x:v>Notes</x:v>
      </x:c>
    </x:row>
    <x:row r="5">
      <x:c r="A5" s="9" t="str">
        <x:v>Blended delivery rate</x:v>
      </x:c>
      <x:c r="B5" s="10" t="n">
        <x:v>125</x:v>
      </x:c>
      <x:c r="C5" s="9" t="str">
        <x:v>$/hour</x:v>
      </x:c>
      <x:c r="D5" s="9" t="str">
        <x:v>Internal cost basis for delivery labor</x:v>
      </x:c>
    </x:row>
    <x:row r="6">
      <x:c r="A6" s="9" t="str">
        <x:v>Target gross margin</x:v>
      </x:c>
      <x:c r="B6" s="11" t="n">
        <x:v>0.45</x:v>
      </x:c>
      <x:c r="C6" s="9" t="str">
        <x:v>%</x:v>
      </x:c>
      <x:c r="D6" s="9" t="str">
        <x:v>Minimum target margin for packaged services</x:v>
      </x:c>
    </x:row>
    <x:row r="7">
      <x:c r="A7" s="9" t="str">
        <x:v>Discovery support hours</x:v>
      </x:c>
      <x:c r="B7" s="12" t="n">
        <x:v>18</x:v>
      </x:c>
      <x:c r="C7" s="9" t="str">
        <x:v>hours</x:v>
      </x:c>
      <x:c r="D7" s="9" t="str">
        <x:v>Initial fit, profile, and pilot plan</x:v>
      </x:c>
    </x:row>
    <x:row r="8">
      <x:c r="A8" s="9" t="str">
        <x:v>Pilot support hours</x:v>
      </x:c>
      <x:c r="B8" s="12" t="n">
        <x:v>52</x:v>
      </x:c>
      <x:c r="C8" s="9" t="str">
        <x:v>hours</x:v>
      </x:c>
      <x:c r="D8" s="9" t="str">
        <x:v>Configuration, opportunity review, enablement</x:v>
      </x:c>
    </x:row>
    <x:row r="9">
      <x:c r="A9" s="9" t="str">
        <x:v>Implementation support hours</x:v>
      </x:c>
      <x:c r="B9" s="12" t="n">
        <x:v>120</x:v>
      </x:c>
      <x:c r="C9" s="9" t="str">
        <x:v>hours</x:v>
      </x:c>
      <x:c r="D9" s="9" t="str">
        <x:v>Broader setup, training, and workflow support</x:v>
      </x:c>
    </x:row>
    <x:row r="10">
      <x:c r="A10" s="9" t="str">
        <x:v>Pilot opportunity count</x:v>
      </x:c>
      <x:c r="B10" s="12" t="n">
        <x:v>25</x:v>
      </x:c>
      <x:c r="C10" s="9" t="str">
        <x:v>opportunities</x:v>
      </x:c>
      <x:c r="D10" s="9" t="str">
        <x:v>Typical focused pilot volume</x:v>
      </x:c>
    </x:row>
    <x:row r="11">
      <x:c r="A11" s="9" t="str">
        <x:v>Implementation opportunity count</x:v>
      </x:c>
      <x:c r="B11" s="12" t="n">
        <x:v>100</x:v>
      </x:c>
      <x:c r="C11" s="9" t="str">
        <x:v>opportunities</x:v>
      </x:c>
      <x:c r="D11" s="9" t="str">
        <x:v>Typical implementation review volume</x:v>
      </x:c>
    </x:row>
    <x:row r="12">
      <x:c r="A12" s="9" t="str">
        <x:v>Discovery package price</x:v>
      </x:c>
      <x:c r="B12" s="10" t="n">
        <x:v>4500</x:v>
      </x:c>
      <x:c r="C12" s="9" t="str">
        <x:v>$</x:v>
      </x:c>
      <x:c r="D12" s="9" t="str">
        <x:v>Buyer-facing fixed price</x:v>
      </x:c>
    </x:row>
    <x:row r="13">
      <x:c r="A13" s="9" t="str">
        <x:v>Pilot package price</x:v>
      </x:c>
      <x:c r="B13" s="10" t="n">
        <x:v>15000</x:v>
      </x:c>
      <x:c r="C13" s="9" t="str">
        <x:v>$</x:v>
      </x:c>
      <x:c r="D13" s="9" t="str">
        <x:v>Buyer-facing fixed price</x:v>
      </x:c>
    </x:row>
    <x:row r="14">
      <x:c r="A14" s="9" t="str">
        <x:v>Implementation package price</x:v>
      </x:c>
      <x:c r="B14" s="10" t="n">
        <x:v>36000</x:v>
      </x:c>
      <x:c r="C14" s="9" t="str">
        <x:v>$</x:v>
      </x:c>
      <x:c r="D14" s="9" t="str">
        <x:v>Buyer-facing fixed price</x:v>
      </x:c>
    </x:row>
    <x:row r="15">
      <x:c r="A15" s="9" t="str">
        <x:v>Optional monthly advisory retainer</x:v>
      </x:c>
      <x:c r="B15" s="10" t="n">
        <x:v>3500</x:v>
      </x:c>
      <x:c r="C15" s="9" t="str">
        <x:v>$/month</x:v>
      </x:c>
      <x:c r="D15" s="9" t="str">
        <x:v>Post-pilot support option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19999313354492" hidden="0" customWidth="1"/>
    <x:col min="2" max="2" width="12.220000267028809" hidden="0" customWidth="1"/>
    <x:col min="3" max="3" width="12.220000267028809" hidden="0" customWidth="1"/>
    <x:col min="4" max="4" width="12.220000267028809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890000343322754" hidden="0" customWidth="1"/>
    <x:col min="9" max="9" width="15.5600004196167" hidden="0" customWidth="1"/>
    <x:col min="10" max="10" width="43.33000183105469" hidden="0" customWidth="1"/>
    <x:col min="11" max="11" width="43.33000183105469" hidden="0" customWidth="1"/>
  </x:cols>
  <x:sheetData>
    <x:row r="1" ht="22.5" customHeight="1">
      <x:c r="A1" s="1" t="str">
        <x:v>Package Pricing Model</x:v>
      </x:c>
    </x:row>
    <x:row r="2" ht="22.5" customHeight="1">
      <x:c r="A2" s="2" t="str">
        <x:v>Internal economics for three early sales packages.</x:v>
      </x:c>
    </x:row>
    <x:row r="4" ht="36" customHeight="1">
      <x:c r="A4" s="8" t="str">
        <x:v>Package</x:v>
      </x:c>
      <x:c r="B4" s="8" t="str">
        <x:v>Buyer price</x:v>
      </x:c>
      <x:c r="C4" s="8" t="str">
        <x:v>Delivery hours</x:v>
      </x:c>
      <x:c r="D4" s="8" t="str">
        <x:v>Delivery cost</x:v>
      </x:c>
      <x:c r="E4" s="8" t="str">
        <x:v>Gross margin $</x:v>
      </x:c>
      <x:c r="F4" s="8" t="str">
        <x:v>Gross margin %</x:v>
      </x:c>
      <x:c r="G4" s="8" t="str">
        <x:v>Effective rate</x:v>
      </x:c>
      <x:c r="H4" s="8" t="str">
        <x:v>Opportunity count</x:v>
      </x:c>
      <x:c r="I4" s="8" t="str">
        <x:v>Cost per opportunity</x:v>
      </x:c>
      <x:c r="J4" s="8" t="str">
        <x:v>Buyer outcome</x:v>
      </x:c>
      <x:c r="K4" s="8" t="str">
        <x:v>Scope guardrail</x:v>
      </x:c>
    </x:row>
    <x:row r="5" ht="36" customHeight="1">
      <x:c r="A5" s="9" t="str">
        <x:v>Discovery Sprint</x:v>
      </x:c>
      <x:c r="B5" s="10" t="n">
        <x:f>'Assumptions'!B12</x:f>
        <x:v>4500</x:v>
      </x:c>
      <x:c r="C5" s="12" t="n">
        <x:f>'Assumptions'!B7</x:f>
        <x:v>18</x:v>
      </x:c>
      <x:c r="D5" s="10" t="n">
        <x:f>C5*'Assumptions'!$B$5</x:f>
        <x:v>2250</x:v>
      </x:c>
      <x:c r="E5" s="10" t="n">
        <x:f>B5-D5</x:f>
        <x:v>2250</x:v>
      </x:c>
      <x:c r="F5" s="11" t="n">
        <x:f>E5/B5</x:f>
        <x:v>0.5</x:v>
      </x:c>
      <x:c r="G5" s="10" t="n">
        <x:f>B5/C5</x:f>
        <x:v>250</x:v>
      </x:c>
      <x:c r="H5" s="12" t="n">
        <x:f>10</x:f>
        <x:v>10</x:v>
      </x:c>
      <x:c r="I5" s="10" t="n">
        <x:f>B5/H5</x:f>
        <x:v>450</x:v>
      </x:c>
      <x:c r="J5" s="13" t="str">
        <x:v>Clarify fit and define the pilot path</x:v>
      </x:c>
      <x:c r="K5" s="13" t="str">
        <x:v>No production rollout or custom integrations</x:v>
      </x:c>
    </x:row>
    <x:row r="6" ht="36" customHeight="1">
      <x:c r="A6" s="9" t="str">
        <x:v>Focused Pilot</x:v>
      </x:c>
      <x:c r="B6" s="10" t="n">
        <x:f>'Assumptions'!B13</x:f>
        <x:v>15000</x:v>
      </x:c>
      <x:c r="C6" s="12" t="n">
        <x:f>'Assumptions'!B8</x:f>
        <x:v>52</x:v>
      </x:c>
      <x:c r="D6" s="10" t="n">
        <x:f>C6*'Assumptions'!$B$5</x:f>
        <x:v>6500</x:v>
      </x:c>
      <x:c r="E6" s="10" t="n">
        <x:f>B6-D6</x:f>
        <x:v>8500</x:v>
      </x:c>
      <x:c r="F6" s="11" t="n">
        <x:f>E6/B6</x:f>
        <x:v>0.5666666666666667</x:v>
      </x:c>
      <x:c r="G6" s="10" t="n">
        <x:f>B6/C6</x:f>
        <x:v>288.46153846153845</x:v>
      </x:c>
      <x:c r="H6" s="12" t="n">
        <x:f>'Assumptions'!B10</x:f>
        <x:v>25</x:v>
      </x:c>
      <x:c r="I6" s="10" t="n">
        <x:f>B6/H6</x:f>
        <x:v>600</x:v>
      </x:c>
      <x:c r="J6" s="13" t="str">
        <x:v>Prove qualification and draft workflow on real targets</x:v>
      </x:c>
      <x:c r="K6" s="13" t="str">
        <x:v>Limited to one company profile and one target market</x:v>
      </x:c>
    </x:row>
    <x:row r="7" ht="36" customHeight="1">
      <x:c r="A7" s="9" t="str">
        <x:v>Implementation Setup</x:v>
      </x:c>
      <x:c r="B7" s="10" t="n">
        <x:f>'Assumptions'!B14</x:f>
        <x:v>36000</x:v>
      </x:c>
      <x:c r="C7" s="12" t="n">
        <x:f>'Assumptions'!B9</x:f>
        <x:v>120</x:v>
      </x:c>
      <x:c r="D7" s="10" t="n">
        <x:f>C7*'Assumptions'!$B$5</x:f>
        <x:v>15000</x:v>
      </x:c>
      <x:c r="E7" s="10" t="n">
        <x:f>B7-D7</x:f>
        <x:v>21000</x:v>
      </x:c>
      <x:c r="F7" s="11" t="n">
        <x:f>E7/B7</x:f>
        <x:v>0.5833333333333334</x:v>
      </x:c>
      <x:c r="G7" s="10" t="n">
        <x:f>B7/C7</x:f>
        <x:v>300</x:v>
      </x:c>
      <x:c r="H7" s="12" t="n">
        <x:f>'Assumptions'!B11</x:f>
        <x:v>100</x:v>
      </x:c>
      <x:c r="I7" s="10" t="n">
        <x:f>B7/H7</x:f>
        <x:v>360</x:v>
      </x:c>
      <x:c r="J7" s="13" t="str">
        <x:v>Operationalize the demo workflow for a buyer team</x:v>
      </x:c>
      <x:c r="K7" s="13" t="str">
        <x:v>Not a full enterprise implementation or CRM replacement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2.220000267028809" hidden="0" customWidth="1"/>
    <x:col min="3" max="3" width="40" hidden="0" customWidth="1"/>
    <x:col min="4" max="4" width="55.560001373291016" hidden="0" customWidth="1"/>
    <x:col min="5" max="5" width="34.439998626708984" hidden="0" customWidth="1"/>
  </x:cols>
  <x:sheetData>
    <x:row r="1" ht="22.5" customHeight="1">
      <x:c r="A1" s="1" t="str">
        <x:v>Buyer-Facing Pricing Options</x:v>
      </x:c>
    </x:row>
    <x:row r="2" ht="22.5" customHeight="1">
      <x:c r="A2" s="2" t="str">
        <x:v>Simple packages for discovery, pilot, and implementation conversations.</x:v>
      </x:c>
    </x:row>
    <x:row r="4" ht="52.5" customHeight="1">
      <x:c r="A4" s="8" t="str">
        <x:v>Offer</x:v>
      </x:c>
      <x:c r="B4" s="8" t="str">
        <x:v>Fixed price</x:v>
      </x:c>
      <x:c r="C4" s="8" t="str">
        <x:v>Best for</x:v>
      </x:c>
      <x:c r="D4" s="8" t="str">
        <x:v>Included</x:v>
      </x:c>
      <x:c r="E4" s="8" t="str">
        <x:v>Boundary</x:v>
      </x:c>
    </x:row>
    <x:row r="5" ht="52.5" customHeight="1">
      <x:c r="A5" s="9" t="str">
        <x:v>Discovery Sprint</x:v>
      </x:c>
      <x:c r="B5" s="10" t="n">
        <x:v>4500</x:v>
      </x:c>
      <x:c r="C5" s="13" t="str">
        <x:v>Buyer wants to validate fit before committing to a pilot.</x:v>
      </x:c>
      <x:c r="D5" s="13" t="str">
        <x:v>Company profile review, target market discussion, demo walkthrough, pilot plan.</x:v>
      </x:c>
      <x:c r="E5" s="13" t="str">
        <x:v>Advisory and planning only.</x:v>
      </x:c>
    </x:row>
    <x:row r="6" ht="52.5" customHeight="1">
      <x:c r="A6" s="9" t="str">
        <x:v>Focused Pilot</x:v>
      </x:c>
      <x:c r="B6" s="10" t="n">
        <x:v>15000</x:v>
      </x:c>
      <x:c r="C6" s="13" t="str">
        <x:v>Buyer has a target market and wants proof on real opportunities.</x:v>
      </x:c>
      <x:c r="D6" s="13" t="str">
        <x:v>One company profile, up to 25 opportunities, qualification workflow, proposal draft/export demo, readout.</x:v>
      </x:c>
      <x:c r="E6" s="13" t="str">
        <x:v>One target market; no custom integrations.</x:v>
      </x:c>
    </x:row>
    <x:row r="7" ht="52.5" customHeight="1">
      <x:c r="A7" s="9" t="str">
        <x:v>Implementation Setup</x:v>
      </x:c>
      <x:c r="B7" s="10" t="n">
        <x:v>36000</x:v>
      </x:c>
      <x:c r="C7" s="13" t="str">
        <x:v>Buyer wants to operationalize the workflow for a small team.</x:v>
      </x:c>
      <x:c r="D7" s="13" t="str">
        <x:v>Profile setup, document inputs, up to 100 opportunities, training, workflow handoff, adoption support.</x:v>
      </x:c>
      <x:c r="E7" s="13" t="str">
        <x:v>Not enterprise CRM replacement.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33000183105469" hidden="0" customWidth="1"/>
    <x:col min="2" max="2" width="11.109999656677246" hidden="0" customWidth="1"/>
    <x:col min="3" max="3" width="13.329999923706055" hidden="0" customWidth="1"/>
    <x:col min="4" max="4" width="28.889999389648438" hidden="0" customWidth="1"/>
  </x:cols>
  <x:sheetData>
    <x:row r="1" ht="22.5" customHeight="1">
      <x:c r="A1" s="1" t="str">
        <x:v>Model Checks</x:v>
      </x:c>
    </x:row>
    <x:row r="2" ht="22.5" customHeight="1">
      <x:c r="A2" s="2" t="str">
        <x:v>Simple guardrails to keep pricing assumptions decision-useful.</x:v>
      </x:c>
    </x:row>
    <x:row r="4">
      <x:c r="A4" s="8" t="str">
        <x:v>Check</x:v>
      </x:c>
      <x:c r="B4" s="8" t="str">
        <x:v>Result</x:v>
      </x:c>
      <x:c r="C4" s="8" t="str">
        <x:v>Delta</x:v>
      </x:c>
      <x:c r="D4" s="8" t="str">
        <x:v>Where to fix</x:v>
      </x:c>
    </x:row>
    <x:row r="5">
      <x:c r="A5" s="9" t="str">
        <x:v>Discovery margin at or above target</x:v>
      </x:c>
      <x:c r="B5" s="9" t="str">
        <x:f>IF('Package_Model'!F5&gt;='Assumptions'!$B$6,"PASS","FAIL")</x:f>
        <x:v>PASS</x:v>
      </x:c>
      <x:c r="C5" s="11" t="n">
        <x:f>'Package_Model'!F5-'Assumptions'!$B$6</x:f>
        <x:v>0.04999999999999999</x:v>
      </x:c>
      <x:c r="D5" s="9" t="str">
        <x:v>Assumptions or Package_Model</x:v>
      </x:c>
    </x:row>
    <x:row r="6">
      <x:c r="A6" s="9" t="str">
        <x:v>Pilot margin at or above target</x:v>
      </x:c>
      <x:c r="B6" s="9" t="str">
        <x:f>IF('Package_Model'!F6&gt;='Assumptions'!$B$6,"PASS","FAIL")</x:f>
        <x:v>PASS</x:v>
      </x:c>
      <x:c r="C6" s="11" t="n">
        <x:f>'Package_Model'!F6-'Assumptions'!$B$6</x:f>
        <x:v>0.11666666666666664</x:v>
      </x:c>
      <x:c r="D6" s="9" t="str">
        <x:v>Assumptions or Package_Model</x:v>
      </x:c>
    </x:row>
    <x:row r="7">
      <x:c r="A7" s="9" t="str">
        <x:v>Implementation margin at or above target</x:v>
      </x:c>
      <x:c r="B7" s="9" t="str">
        <x:f>IF('Package_Model'!F7&gt;='Assumptions'!$B$6,"PASS","FAIL")</x:f>
        <x:v>PASS</x:v>
      </x:c>
      <x:c r="C7" s="11" t="n">
        <x:f>'Package_Model'!F7-'Assumptions'!$B$6</x:f>
        <x:v>0.13333333333333336</x:v>
      </x:c>
      <x:c r="D7" s="9" t="str">
        <x:v>Assumptions or Package_Model</x:v>
      </x:c>
    </x:row>
    <x:row r="8">
      <x:c r="A8" s="9" t="str">
        <x:v>All package prices are positive</x:v>
      </x:c>
      <x:c r="B8" s="9" t="str">
        <x:f>IF(MIN('Package_Model'!B5:B7)&gt;0,"PASS","FAIL")</x:f>
        <x:v>PASS</x:v>
      </x:c>
      <x:c r="C8" s="10" t="n">
        <x:f>MIN('Package_Model'!B5:B7)</x:f>
        <x:v>4500</x:v>
      </x:c>
      <x:c r="D8" s="9" t="str">
        <x:v>Package_Model buyer prices</x:v>
      </x:c>
    </x:row>
    <x:row r="9">
      <x:c r="A9" s="9" t="str">
        <x:v>All delivery hours are positive</x:v>
      </x:c>
      <x:c r="B9" s="9" t="str">
        <x:f>IF(MIN('Package_Model'!C5:C7)&gt;0,"PASS","FAIL")</x:f>
        <x:v>PASS</x:v>
      </x:c>
      <x:c r="C9" s="12" t="n">
        <x:f>MIN('Package_Model'!C5:C7)</x:f>
        <x:v>18</x:v>
      </x:c>
      <x:c r="D9" s="9" t="str">
        <x:v>Package_Model delivery hours</x:v>
      </x:c>
    </x:row>
  </x:sheetData>
  <x:pageMargins left="0.7" right="0.7" top="0.75" bottom="0.75" header="0.3" footer="0.3"/>
</x:worksheet>
</file>